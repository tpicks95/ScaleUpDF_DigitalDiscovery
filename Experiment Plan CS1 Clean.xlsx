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rath.sharepoint.com/sites/SIPBS_AutoCrystMBDoECoreProject/Shared Documents/General/Documents/Digital Discovery/"/>
    </mc:Choice>
  </mc:AlternateContent>
  <xr:revisionPtr revIDLastSave="3" documentId="8_{9E6B8946-2984-41F3-8D48-4EFE556F5614}" xr6:coauthVersionLast="47" xr6:coauthVersionMax="47" xr10:uidLastSave="{FC32456C-EB46-4508-B9F7-589FE32F08A6}"/>
  <bookViews>
    <workbookView xWindow="-120" yWindow="-120" windowWidth="29040" windowHeight="15840" xr2:uid="{00000000-000D-0000-FFFF-FFFF00000000}"/>
  </bookViews>
  <sheets>
    <sheet name="Experiment Plan C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R8" i="1" s="1"/>
  <c r="K8" i="1" s="1"/>
  <c r="D4" i="1"/>
  <c r="D5" i="1"/>
  <c r="D6" i="1"/>
  <c r="D7" i="1"/>
  <c r="R6" i="1" l="1"/>
  <c r="K6" i="1" s="1"/>
  <c r="R7" i="1"/>
  <c r="K7" i="1" s="1"/>
  <c r="R4" i="1"/>
  <c r="K4" i="1" s="1"/>
  <c r="R5" i="1"/>
  <c r="K5" i="1" s="1"/>
  <c r="D3" i="1"/>
  <c r="R3" i="1" s="1"/>
  <c r="K3" i="1" s="1"/>
</calcChain>
</file>

<file path=xl/sharedStrings.xml><?xml version="1.0" encoding="utf-8"?>
<sst xmlns="http://schemas.openxmlformats.org/spreadsheetml/2006/main" count="52" uniqueCount="34">
  <si>
    <t>Solute</t>
  </si>
  <si>
    <t>Solvent</t>
  </si>
  <si>
    <t>lamivudine</t>
  </si>
  <si>
    <t>ethanol</t>
  </si>
  <si>
    <t>i_API Mass (g)</t>
  </si>
  <si>
    <t>i_Conc (g/L solvent)</t>
  </si>
  <si>
    <t>i_Solv Vol (L)</t>
  </si>
  <si>
    <t>Cooling Rate (°C/min)</t>
  </si>
  <si>
    <t>[0.1, 0.5]</t>
  </si>
  <si>
    <t>Seed Mass (%)</t>
  </si>
  <si>
    <t>[1, 5]</t>
  </si>
  <si>
    <t>SS</t>
  </si>
  <si>
    <t>[1.2, 1.5]</t>
  </si>
  <si>
    <t>Seed Temp (°C)</t>
  </si>
  <si>
    <t>&lt;Calculated&gt;</t>
  </si>
  <si>
    <t>Seed Slurry wt%</t>
  </si>
  <si>
    <t>&lt;Measured&gt;</t>
  </si>
  <si>
    <t>&lt;Span&gt;</t>
  </si>
  <si>
    <t>Slurry Vol (mL)</t>
  </si>
  <si>
    <t>g/mL slurry</t>
  </si>
  <si>
    <t>g Seed</t>
  </si>
  <si>
    <t>eLN</t>
  </si>
  <si>
    <t>PICKL48</t>
  </si>
  <si>
    <t>PICKL44</t>
  </si>
  <si>
    <t>PICKL45</t>
  </si>
  <si>
    <t>PICKL46</t>
  </si>
  <si>
    <t>PICKL47</t>
  </si>
  <si>
    <t>&lt;ENTER&gt;</t>
  </si>
  <si>
    <t>Yield</t>
  </si>
  <si>
    <t>Growth rate (mean-1-880)</t>
  </si>
  <si>
    <t>Nucleation rate (LW-counts-5-120)</t>
  </si>
  <si>
    <t>PICKL51</t>
  </si>
  <si>
    <t>R2 Growth rate (mean-1-880)</t>
  </si>
  <si>
    <t>R2 Nucleation rate (LW-counts-5-120)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</si>
</sst>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2" fontId="0" fillId="3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2" fontId="1" fillId="5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 wrapText="1"/>
    </xf>
    <xf numFmtId="2" fontId="2" fillId="6" borderId="1" xfId="0" applyNumberFormat="1" applyFon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tabSelected="1" workbookViewId="0">
      <selection activeCell="Q13" sqref="Q13"/>
    </sheetView>
  </sheetViews>
  <sheetFormatPr defaultRowHeight="15" x14ac:dyDescent="0.25"/>
  <cols>
    <col min="1" max="1" width="9.140625" style="15"/>
    <col min="2" max="2" width="11" style="15" bestFit="1" customWidth="1"/>
    <col min="3" max="3" width="7.85546875" style="15" bestFit="1" customWidth="1"/>
    <col min="4" max="4" width="12.28515625" style="15" bestFit="1" customWidth="1"/>
    <col min="5" max="5" width="8" style="15" bestFit="1" customWidth="1"/>
    <col min="6" max="6" width="12" style="15" customWidth="1"/>
    <col min="7" max="7" width="11" style="15" bestFit="1" customWidth="1"/>
    <col min="8" max="8" width="12.28515625" style="15" customWidth="1"/>
    <col min="9" max="9" width="10.5703125" style="15" bestFit="1" customWidth="1"/>
    <col min="10" max="10" width="9.5703125" style="15" bestFit="1" customWidth="1"/>
    <col min="11" max="11" width="12.28515625" style="15" bestFit="1" customWidth="1"/>
    <col min="12" max="12" width="12.28515625" style="18" bestFit="1" customWidth="1"/>
    <col min="13" max="13" width="11.85546875" style="15" bestFit="1" customWidth="1"/>
    <col min="14" max="14" width="12.85546875" style="15" bestFit="1" customWidth="1"/>
    <col min="15" max="15" width="14.42578125" style="15" bestFit="1" customWidth="1"/>
    <col min="16" max="16" width="17.5703125" style="15" bestFit="1" customWidth="1"/>
    <col min="17" max="17" width="17.5703125" style="15" customWidth="1"/>
    <col min="18" max="18" width="9.140625" style="15"/>
    <col min="19" max="19" width="19" style="15" bestFit="1" customWidth="1"/>
    <col min="20" max="16384" width="9.140625" style="15"/>
  </cols>
  <sheetData>
    <row r="1" spans="1:19" s="7" customFormat="1" ht="30" x14ac:dyDescent="0.25">
      <c r="A1" s="20" t="s">
        <v>21</v>
      </c>
      <c r="B1" s="3" t="s">
        <v>0</v>
      </c>
      <c r="C1" s="3" t="s">
        <v>1</v>
      </c>
      <c r="D1" s="3" t="s">
        <v>4</v>
      </c>
      <c r="E1" s="3" t="s">
        <v>6</v>
      </c>
      <c r="F1" s="3" t="s">
        <v>5</v>
      </c>
      <c r="G1" s="3" t="s">
        <v>15</v>
      </c>
      <c r="H1" s="4" t="s">
        <v>7</v>
      </c>
      <c r="I1" s="4" t="s">
        <v>9</v>
      </c>
      <c r="J1" s="4" t="s">
        <v>11</v>
      </c>
      <c r="K1" s="5" t="s">
        <v>18</v>
      </c>
      <c r="L1" s="16" t="s">
        <v>13</v>
      </c>
      <c r="M1" s="6" t="s">
        <v>28</v>
      </c>
      <c r="N1" s="6" t="s">
        <v>29</v>
      </c>
      <c r="O1" s="6" t="s">
        <v>32</v>
      </c>
      <c r="P1" s="6" t="s">
        <v>30</v>
      </c>
      <c r="Q1" s="6" t="s">
        <v>33</v>
      </c>
      <c r="R1" s="12" t="s">
        <v>20</v>
      </c>
      <c r="S1" s="12" t="s">
        <v>19</v>
      </c>
    </row>
    <row r="2" spans="1:19" s="12" customFormat="1" x14ac:dyDescent="0.25">
      <c r="A2" s="21" t="s">
        <v>27</v>
      </c>
      <c r="B2" s="8" t="s">
        <v>2</v>
      </c>
      <c r="C2" s="8" t="s">
        <v>3</v>
      </c>
      <c r="D2" s="8" t="s">
        <v>14</v>
      </c>
      <c r="E2" s="8" t="s">
        <v>17</v>
      </c>
      <c r="F2" s="8">
        <v>47.344419405309061</v>
      </c>
      <c r="G2" s="8">
        <v>20</v>
      </c>
      <c r="H2" s="9" t="s">
        <v>8</v>
      </c>
      <c r="I2" s="9" t="s">
        <v>10</v>
      </c>
      <c r="J2" s="9" t="s">
        <v>12</v>
      </c>
      <c r="K2" s="10" t="s">
        <v>14</v>
      </c>
      <c r="L2" s="17" t="s">
        <v>14</v>
      </c>
      <c r="M2" s="11" t="s">
        <v>16</v>
      </c>
      <c r="N2" s="11" t="s">
        <v>16</v>
      </c>
      <c r="O2" s="11" t="s">
        <v>14</v>
      </c>
      <c r="P2" s="11" t="s">
        <v>16</v>
      </c>
      <c r="Q2" s="11" t="s">
        <v>14</v>
      </c>
    </row>
    <row r="3" spans="1:19" x14ac:dyDescent="0.25">
      <c r="A3" s="22" t="s">
        <v>22</v>
      </c>
      <c r="B3" s="13" t="s">
        <v>2</v>
      </c>
      <c r="C3" s="13" t="s">
        <v>3</v>
      </c>
      <c r="D3" s="13">
        <f>E3*F3</f>
        <v>35.508314553981798</v>
      </c>
      <c r="E3" s="13">
        <v>0.75</v>
      </c>
      <c r="F3" s="13">
        <v>47.344419405309061</v>
      </c>
      <c r="G3" s="13">
        <v>20</v>
      </c>
      <c r="H3" s="1">
        <v>0.26656509515344179</v>
      </c>
      <c r="I3" s="1">
        <v>2.343462169370675</v>
      </c>
      <c r="J3" s="1">
        <v>1.476901546668741</v>
      </c>
      <c r="K3" s="2">
        <f>R3/S3</f>
        <v>5.2967691655700451</v>
      </c>
      <c r="L3" s="19">
        <v>58.956560907717645</v>
      </c>
      <c r="M3" s="14">
        <v>0.63161335932296203</v>
      </c>
      <c r="N3" s="14">
        <v>0.138872</v>
      </c>
      <c r="O3" s="14">
        <v>0.932037</v>
      </c>
      <c r="P3" s="14">
        <v>11.121371999999999</v>
      </c>
      <c r="Q3" s="14">
        <v>0.95244499999999999</v>
      </c>
      <c r="R3" s="15">
        <f>D3*(I3/100)</f>
        <v>0.83212391855370504</v>
      </c>
      <c r="S3" s="15">
        <v>0.15710027991452991</v>
      </c>
    </row>
    <row r="4" spans="1:19" x14ac:dyDescent="0.25">
      <c r="A4" s="22" t="s">
        <v>23</v>
      </c>
      <c r="B4" s="13" t="s">
        <v>2</v>
      </c>
      <c r="C4" s="13" t="s">
        <v>3</v>
      </c>
      <c r="D4" s="13">
        <f t="shared" ref="D4:D7" si="0">E4*F4</f>
        <v>35.508314553981798</v>
      </c>
      <c r="E4" s="13">
        <v>0.75</v>
      </c>
      <c r="F4" s="13">
        <v>47.344419405309061</v>
      </c>
      <c r="G4" s="13">
        <v>20</v>
      </c>
      <c r="H4" s="1">
        <v>0.45313604517061512</v>
      </c>
      <c r="I4" s="1">
        <v>1.003544584364539</v>
      </c>
      <c r="J4" s="1">
        <v>1.225020434750137</v>
      </c>
      <c r="K4" s="2">
        <f t="shared" ref="K4:K7" si="1">R4/S4</f>
        <v>2.2682440024898542</v>
      </c>
      <c r="L4" s="19">
        <v>64.168614946920385</v>
      </c>
      <c r="M4" s="14">
        <v>0.70441514888791501</v>
      </c>
      <c r="N4" s="14">
        <v>0.32035200000000003</v>
      </c>
      <c r="O4" s="14">
        <v>0.91972299999999996</v>
      </c>
      <c r="P4" s="14">
        <v>3.9102999999999999</v>
      </c>
      <c r="Q4" s="14">
        <v>0.107821</v>
      </c>
      <c r="R4" s="15">
        <f t="shared" ref="R4:R7" si="2">D4*(I4/100)</f>
        <v>0.35634176770560977</v>
      </c>
      <c r="S4" s="15">
        <v>0.15710027991452991</v>
      </c>
    </row>
    <row r="5" spans="1:19" x14ac:dyDescent="0.25">
      <c r="A5" s="22" t="s">
        <v>24</v>
      </c>
      <c r="B5" s="13" t="s">
        <v>2</v>
      </c>
      <c r="C5" s="13" t="s">
        <v>3</v>
      </c>
      <c r="D5" s="13">
        <f t="shared" si="0"/>
        <v>35.508314553981798</v>
      </c>
      <c r="E5" s="13">
        <v>0.75</v>
      </c>
      <c r="F5" s="13">
        <v>47.344419405309061</v>
      </c>
      <c r="G5" s="13">
        <v>20</v>
      </c>
      <c r="H5" s="1">
        <v>0.25258183853362831</v>
      </c>
      <c r="I5" s="1">
        <v>4.836949409475169</v>
      </c>
      <c r="J5" s="1">
        <v>1.380146699200133</v>
      </c>
      <c r="K5" s="2">
        <f t="shared" si="1"/>
        <v>10.932629859525527</v>
      </c>
      <c r="L5" s="19">
        <v>60.927225375517935</v>
      </c>
      <c r="M5" s="14">
        <v>0.61166541332485802</v>
      </c>
      <c r="N5" s="14">
        <v>0.231298</v>
      </c>
      <c r="O5" s="14">
        <v>0.90973899999999996</v>
      </c>
      <c r="P5" s="14">
        <v>-7.3389999999999997E-2</v>
      </c>
      <c r="Q5" s="14">
        <v>4.6999999999999997E-5</v>
      </c>
      <c r="R5" s="15">
        <f t="shared" si="2"/>
        <v>1.7175192111334081</v>
      </c>
      <c r="S5" s="15">
        <v>0.15710027991452991</v>
      </c>
    </row>
    <row r="6" spans="1:19" x14ac:dyDescent="0.25">
      <c r="A6" s="22" t="s">
        <v>25</v>
      </c>
      <c r="B6" s="13" t="s">
        <v>2</v>
      </c>
      <c r="C6" s="13" t="s">
        <v>3</v>
      </c>
      <c r="D6" s="13">
        <f t="shared" si="0"/>
        <v>35.508314553981798</v>
      </c>
      <c r="E6" s="13">
        <v>0.75</v>
      </c>
      <c r="F6" s="13">
        <v>47.344419405309061</v>
      </c>
      <c r="G6" s="13">
        <v>20</v>
      </c>
      <c r="H6" s="1">
        <v>0.41465150992441691</v>
      </c>
      <c r="I6" s="1">
        <v>3.0432512092021229</v>
      </c>
      <c r="J6" s="1">
        <v>1.303285974648916</v>
      </c>
      <c r="K6" s="2">
        <f t="shared" si="1"/>
        <v>6.878455039158724</v>
      </c>
      <c r="L6" s="19">
        <v>62.609457338943919</v>
      </c>
      <c r="M6" s="14">
        <v>0.67641836925341403</v>
      </c>
      <c r="N6" s="14">
        <v>0.36624400000000001</v>
      </c>
      <c r="O6" s="14">
        <v>0.89408799999999999</v>
      </c>
      <c r="P6" s="14">
        <v>-2.3226390000000001</v>
      </c>
      <c r="Q6" s="14">
        <v>1.0678E-2</v>
      </c>
      <c r="R6" s="15">
        <f t="shared" si="2"/>
        <v>1.0806072120313444</v>
      </c>
      <c r="S6" s="15">
        <v>0.15710027991452991</v>
      </c>
    </row>
    <row r="7" spans="1:19" x14ac:dyDescent="0.25">
      <c r="A7" s="22" t="s">
        <v>26</v>
      </c>
      <c r="B7" s="13" t="s">
        <v>2</v>
      </c>
      <c r="C7" s="13" t="s">
        <v>3</v>
      </c>
      <c r="D7" s="13">
        <f t="shared" si="0"/>
        <v>35.508314553981798</v>
      </c>
      <c r="E7" s="13">
        <v>0.75</v>
      </c>
      <c r="F7" s="13">
        <v>47.344419405309061</v>
      </c>
      <c r="G7" s="13">
        <v>20</v>
      </c>
      <c r="H7" s="1">
        <v>0.13545640882638649</v>
      </c>
      <c r="I7" s="1">
        <v>3.7988865553009021</v>
      </c>
      <c r="J7" s="1">
        <v>1.3284119388838429</v>
      </c>
      <c r="K7" s="2">
        <f t="shared" si="1"/>
        <v>8.5863665445984303</v>
      </c>
      <c r="L7" s="19">
        <v>61.966790359615146</v>
      </c>
      <c r="M7" s="14">
        <v>0.58879757493723905</v>
      </c>
      <c r="N7" s="14">
        <v>0.13051699999999999</v>
      </c>
      <c r="O7" s="14">
        <v>0.83433400000000002</v>
      </c>
      <c r="P7" s="14">
        <v>2.8323909999999999</v>
      </c>
      <c r="Q7" s="14">
        <v>0.20571999999999999</v>
      </c>
      <c r="R7" s="15">
        <f t="shared" si="2"/>
        <v>1.3489205876051682</v>
      </c>
      <c r="S7" s="15">
        <v>0.15710027991452991</v>
      </c>
    </row>
    <row r="8" spans="1:19" s="12" customFormat="1" x14ac:dyDescent="0.25">
      <c r="A8" s="21" t="s">
        <v>31</v>
      </c>
      <c r="B8" s="8" t="s">
        <v>2</v>
      </c>
      <c r="C8" s="8" t="s">
        <v>3</v>
      </c>
      <c r="D8" s="8">
        <f t="shared" ref="D8" si="3">E8*F8</f>
        <v>35.508314553981798</v>
      </c>
      <c r="E8" s="8">
        <v>0.75</v>
      </c>
      <c r="F8" s="8">
        <v>47.344419405309061</v>
      </c>
      <c r="G8" s="8">
        <v>20</v>
      </c>
      <c r="H8" s="9">
        <v>0.26</v>
      </c>
      <c r="I8" s="9">
        <v>2.3199999999999998</v>
      </c>
      <c r="J8" s="9">
        <v>1.45</v>
      </c>
      <c r="K8" s="10">
        <f t="shared" ref="K8" si="4">R8/S8</f>
        <v>5.2437392097618165</v>
      </c>
      <c r="L8" s="23">
        <v>60</v>
      </c>
      <c r="M8" s="14">
        <v>0.73243446920134703</v>
      </c>
      <c r="N8" s="14">
        <v>0.186922</v>
      </c>
      <c r="O8" s="14">
        <v>0.95037199999999999</v>
      </c>
      <c r="P8" s="14">
        <v>10.232053000000001</v>
      </c>
      <c r="Q8" s="14">
        <v>0.958646</v>
      </c>
      <c r="R8" s="12">
        <f t="shared" ref="R8" si="5">D8*(I8/100)</f>
        <v>0.82379289765237762</v>
      </c>
      <c r="S8" s="12">
        <v>0.15710027991452999</v>
      </c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F76C405192CF4FBEE2BB84647FD111" ma:contentTypeVersion="11" ma:contentTypeDescription="Create a new document." ma:contentTypeScope="" ma:versionID="8072b849e329b57c8a3afd0c973792ab">
  <xsd:schema xmlns:xsd="http://www.w3.org/2001/XMLSchema" xmlns:xs="http://www.w3.org/2001/XMLSchema" xmlns:p="http://schemas.microsoft.com/office/2006/metadata/properties" xmlns:ns2="0bf1ac47-9bc8-4c9a-bf8c-05ffc38d5751" xmlns:ns3="2b4a3128-8fee-45c4-b55d-6d64a6b1e711" targetNamespace="http://schemas.microsoft.com/office/2006/metadata/properties" ma:root="true" ma:fieldsID="40e7ec5c81a89bf3bd33c8a623187167" ns2:_="" ns3:_="">
    <xsd:import namespace="0bf1ac47-9bc8-4c9a-bf8c-05ffc38d5751"/>
    <xsd:import namespace="2b4a3128-8fee-45c4-b55d-6d64a6b1e7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1ac47-9bc8-4c9a-bf8c-05ffc38d57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4a3128-8fee-45c4-b55d-6d64a6b1e71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9a49ce-cb9d-4b67-b0c9-fa2f9e9141ae}" ma:internalName="TaxCatchAll" ma:showField="CatchAllData" ma:web="2b4a3128-8fee-45c4-b55d-6d64a6b1e7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f1ac47-9bc8-4c9a-bf8c-05ffc38d5751">
      <Terms xmlns="http://schemas.microsoft.com/office/infopath/2007/PartnerControls"/>
    </lcf76f155ced4ddcb4097134ff3c332f>
    <TaxCatchAll xmlns="2b4a3128-8fee-45c4-b55d-6d64a6b1e711" xsi:nil="true"/>
  </documentManagement>
</p:properties>
</file>

<file path=customXml/itemProps1.xml><?xml version="1.0" encoding="utf-8"?>
<ds:datastoreItem xmlns:ds="http://schemas.openxmlformats.org/officeDocument/2006/customXml" ds:itemID="{D8D6AD58-627C-4D50-AFAC-9360052A8900}"/>
</file>

<file path=customXml/itemProps2.xml><?xml version="1.0" encoding="utf-8"?>
<ds:datastoreItem xmlns:ds="http://schemas.openxmlformats.org/officeDocument/2006/customXml" ds:itemID="{194EB9BF-BFCE-4C50-9995-6FDB92E3BFD4}"/>
</file>

<file path=customXml/itemProps3.xml><?xml version="1.0" encoding="utf-8"?>
<ds:datastoreItem xmlns:ds="http://schemas.openxmlformats.org/officeDocument/2006/customXml" ds:itemID="{6B73F6EF-7559-44BC-A3BF-50B1C73ADC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 Plan CS1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Pickles</dc:creator>
  <cp:lastModifiedBy>Thomas Pickles</cp:lastModifiedBy>
  <dcterms:created xsi:type="dcterms:W3CDTF">2015-06-05T18:17:20Z</dcterms:created>
  <dcterms:modified xsi:type="dcterms:W3CDTF">2025-05-02T09:28:39Z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0x010100CAF76C405192CF4FBEE2BB84647FD111</vt:lpwstr>
  </property>
</Properties>
</file>